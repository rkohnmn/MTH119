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ANOVA" sheetId="2" r:id="rId6"/>
    <sheet state="visible" name="Copy of ANOVA" sheetId="3" r:id="rId7"/>
    <sheet state="visible" name="LIGHT4NIGHT" sheetId="4" r:id="rId8"/>
    <sheet state="visible" name="Regression" sheetId="5" r:id="rId9"/>
    <sheet state="visible" name="BikeCommute" sheetId="6" r:id="rId10"/>
    <sheet state="visible" name="HELPrct" sheetId="7" r:id="rId11"/>
  </sheets>
  <definedNames/>
  <calcPr/>
</workbook>
</file>

<file path=xl/sharedStrings.xml><?xml version="1.0" encoding="utf-8"?>
<sst xmlns="http://schemas.openxmlformats.org/spreadsheetml/2006/main" count="234" uniqueCount="80">
  <si>
    <t>Favstats</t>
  </si>
  <si>
    <t>Table of Statistics</t>
  </si>
  <si>
    <t>x</t>
  </si>
  <si>
    <t>Minimum Recorded</t>
  </si>
  <si>
    <t>Low End Outlier Start</t>
  </si>
  <si>
    <t>Q1</t>
  </si>
  <si>
    <t>Median</t>
  </si>
  <si>
    <t>Q3</t>
  </si>
  <si>
    <t>High End Outlier Start</t>
  </si>
  <si>
    <t>Max Recorded</t>
  </si>
  <si>
    <t>Mean</t>
  </si>
  <si>
    <t>Standard Deviation</t>
  </si>
  <si>
    <t>Number Of</t>
  </si>
  <si>
    <t>Missing</t>
  </si>
  <si>
    <t>var1</t>
  </si>
  <si>
    <t>x̄</t>
  </si>
  <si>
    <t>s</t>
  </si>
  <si>
    <t>n</t>
  </si>
  <si>
    <t>DM</t>
  </si>
  <si>
    <t>Asian</t>
  </si>
  <si>
    <t>LD</t>
  </si>
  <si>
    <t>LL</t>
  </si>
  <si>
    <t>A</t>
  </si>
  <si>
    <t>ANOVA Test</t>
  </si>
  <si>
    <t>Extraneous</t>
  </si>
  <si>
    <t>var2</t>
  </si>
  <si>
    <t>Test Values</t>
  </si>
  <si>
    <t>Black</t>
  </si>
  <si>
    <t>Df</t>
  </si>
  <si>
    <t>Sum Sq</t>
  </si>
  <si>
    <t>Mean Sq</t>
  </si>
  <si>
    <t>F Value</t>
  </si>
  <si>
    <t>Pr(&gt;F)</t>
  </si>
  <si>
    <t>Other</t>
  </si>
  <si>
    <t>Tally</t>
  </si>
  <si>
    <t>Filling</t>
  </si>
  <si>
    <t>B</t>
  </si>
  <si>
    <t>5.4*10^-8</t>
  </si>
  <si>
    <t>Residual</t>
  </si>
  <si>
    <t>White</t>
  </si>
  <si>
    <t>c1</t>
  </si>
  <si>
    <t>C</t>
  </si>
  <si>
    <t>c2</t>
  </si>
  <si>
    <t>Test Statistic</t>
  </si>
  <si>
    <t>v1</t>
  </si>
  <si>
    <t>v2</t>
  </si>
  <si>
    <t>v3</t>
  </si>
  <si>
    <t>μ</t>
  </si>
  <si>
    <t>5.78*10^-5</t>
  </si>
  <si>
    <t>Test of Statistics</t>
  </si>
  <si>
    <t>ANOVA Statistic</t>
  </si>
  <si>
    <t>Carbon</t>
  </si>
  <si>
    <t>Table of Statistics for Regresion Line</t>
  </si>
  <si>
    <t>Steel</t>
  </si>
  <si>
    <t>r</t>
  </si>
  <si>
    <t>r^2</t>
  </si>
  <si>
    <t>a</t>
  </si>
  <si>
    <t>b</t>
  </si>
  <si>
    <t>Equation(y=b+ax)</t>
  </si>
  <si>
    <t>W=-30.82+0.15*RBI</t>
  </si>
  <si>
    <t>h</t>
  </si>
  <si>
    <t>Summary of Linear Model Test</t>
  </si>
  <si>
    <t>T-Test Statistic</t>
  </si>
  <si>
    <t>df</t>
  </si>
  <si>
    <t xml:space="preserve"> p-value</t>
  </si>
  <si>
    <t>Extraneous w/o hand calc</t>
  </si>
  <si>
    <t>Estimate</t>
  </si>
  <si>
    <t>Standard Error</t>
  </si>
  <si>
    <t>T-Value(df=18)</t>
  </si>
  <si>
    <t>Intercept</t>
  </si>
  <si>
    <t>PPM</t>
  </si>
  <si>
    <t>Steal</t>
  </si>
  <si>
    <t>Substance</t>
  </si>
  <si>
    <t>Homeless</t>
  </si>
  <si>
    <t>Housed</t>
  </si>
  <si>
    <t>χ2 Test Statistic</t>
  </si>
  <si>
    <t>p-value</t>
  </si>
  <si>
    <t>Alcohol</t>
  </si>
  <si>
    <t>Cocaine</t>
  </si>
  <si>
    <t>Heroin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</si>
</sst>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5" fillId="2" fontId="4" numFmtId="0" xfId="0" applyAlignment="1" applyBorder="1" applyFill="1" applyFont="1">
      <alignment horizontal="center"/>
    </xf>
    <xf borderId="6" fillId="0" fontId="3" numFmtId="0" xfId="0" applyBorder="1" applyFont="1"/>
    <xf borderId="4" fillId="0" fontId="4" numFmtId="0" xfId="0" applyAlignment="1" applyBorder="1" applyFont="1">
      <alignment readingOrder="0"/>
    </xf>
    <xf borderId="1" fillId="2" fontId="4" numFmtId="0" xfId="0" applyAlignment="1" applyBorder="1" applyFill="1" applyFont="1">
      <alignment horizontal="center"/>
    </xf>
    <xf borderId="4" fillId="0" fontId="4" numFmtId="0" xfId="0" applyBorder="1" applyFont="1"/>
    <xf borderId="0" fillId="0" fontId="4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4" fillId="3" fontId="4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3" width="17.75"/>
  </cols>
  <sheetData>
    <row r="3">
      <c r="B3" s="1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>
      <c r="B5" s="5" t="s">
        <v>14</v>
      </c>
      <c r="C5" s="6"/>
      <c r="D5" s="6">
        <f t="shared" ref="D5:D6" si="1">E5-1.5*(G5-E5)</f>
        <v>0</v>
      </c>
      <c r="E5" s="6"/>
      <c r="F5" s="6"/>
      <c r="G5" s="6"/>
      <c r="H5" s="6">
        <f t="shared" ref="H5:H6" si="2">G5-1.5*(G5-E5)</f>
        <v>0</v>
      </c>
      <c r="I5" s="6"/>
      <c r="J5" s="6"/>
      <c r="K5" s="6"/>
      <c r="L5" s="6"/>
      <c r="M5" s="6"/>
    </row>
    <row r="6">
      <c r="B6" s="5" t="s">
        <v>25</v>
      </c>
      <c r="C6" s="6"/>
      <c r="D6" s="6">
        <f t="shared" si="1"/>
        <v>0</v>
      </c>
      <c r="E6" s="6"/>
      <c r="F6" s="6"/>
      <c r="G6" s="6"/>
      <c r="H6" s="6">
        <f t="shared" si="2"/>
        <v>0</v>
      </c>
      <c r="I6" s="6"/>
      <c r="J6" s="6"/>
      <c r="K6" s="6"/>
      <c r="L6" s="6"/>
      <c r="M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9">
      <c r="B9" s="2" t="s">
        <v>34</v>
      </c>
      <c r="C9" s="3"/>
      <c r="D9" s="4"/>
      <c r="F9" s="2" t="s">
        <v>1</v>
      </c>
      <c r="G9" s="3"/>
      <c r="H9" s="3"/>
      <c r="I9" s="4"/>
    </row>
    <row r="10">
      <c r="B10" s="10" t="s">
        <v>2</v>
      </c>
      <c r="C10" s="10" t="s">
        <v>40</v>
      </c>
      <c r="D10" s="10" t="s">
        <v>42</v>
      </c>
      <c r="F10" s="5" t="s">
        <v>43</v>
      </c>
      <c r="G10" s="5" t="s">
        <v>15</v>
      </c>
      <c r="H10" s="5" t="s">
        <v>16</v>
      </c>
      <c r="I10" s="5" t="s">
        <v>17</v>
      </c>
    </row>
    <row r="11">
      <c r="B11" s="10" t="s">
        <v>44</v>
      </c>
      <c r="C11" s="12"/>
      <c r="D11" s="12"/>
      <c r="F11" s="6"/>
      <c r="G11" s="6"/>
      <c r="H11" s="6"/>
      <c r="I11" s="6"/>
    </row>
    <row r="12">
      <c r="B12" s="10" t="s">
        <v>45</v>
      </c>
      <c r="C12" s="12"/>
      <c r="D12" s="12"/>
    </row>
    <row r="13">
      <c r="B13" s="10" t="s">
        <v>46</v>
      </c>
      <c r="C13" s="12"/>
      <c r="D13" s="12"/>
    </row>
  </sheetData>
  <mergeCells count="3">
    <mergeCell ref="B3:M3"/>
    <mergeCell ref="B9:D9"/>
    <mergeCell ref="F9:I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3" width="17.75"/>
  </cols>
  <sheetData>
    <row r="3">
      <c r="B3" s="1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>
      <c r="B5" s="5" t="s">
        <v>19</v>
      </c>
      <c r="C5" s="5">
        <v>0.0</v>
      </c>
      <c r="D5" s="6">
        <f t="shared" ref="D5:D8" si="1">E5-1.5*(G5-E5)</f>
        <v>-91.5</v>
      </c>
      <c r="E5" s="5">
        <v>0.0</v>
      </c>
      <c r="F5" s="5">
        <v>18.0</v>
      </c>
      <c r="G5" s="5">
        <v>61.0</v>
      </c>
      <c r="H5" s="6">
        <f t="shared" ref="H5:H8" si="2">G5+ 1.5*(G5-E5)</f>
        <v>152.5</v>
      </c>
      <c r="I5" s="5">
        <v>487.0</v>
      </c>
      <c r="J5" s="5">
        <v>43.67</v>
      </c>
      <c r="K5" s="5">
        <v>71.0</v>
      </c>
      <c r="L5" s="5">
        <v>129.0</v>
      </c>
      <c r="M5" s="5">
        <v>0.0</v>
      </c>
    </row>
    <row r="6">
      <c r="B6" s="5" t="s">
        <v>27</v>
      </c>
      <c r="C6" s="5">
        <v>0.0</v>
      </c>
      <c r="D6" s="6">
        <f t="shared" si="1"/>
        <v>-46.5</v>
      </c>
      <c r="E6" s="5">
        <v>0.0</v>
      </c>
      <c r="F6" s="5">
        <v>3.6</v>
      </c>
      <c r="G6" s="5">
        <v>31.0</v>
      </c>
      <c r="H6" s="6">
        <f t="shared" si="2"/>
        <v>77.5</v>
      </c>
      <c r="I6" s="5">
        <v>150.0</v>
      </c>
      <c r="J6" s="5">
        <v>20.1</v>
      </c>
      <c r="K6" s="5">
        <v>28.49</v>
      </c>
      <c r="L6" s="5">
        <v>199.0</v>
      </c>
      <c r="M6" s="5">
        <v>0.0</v>
      </c>
    </row>
    <row r="7">
      <c r="B7" s="5" t="s">
        <v>33</v>
      </c>
      <c r="C7" s="5">
        <v>0.0</v>
      </c>
      <c r="D7" s="6">
        <f t="shared" si="1"/>
        <v>-42</v>
      </c>
      <c r="E7" s="5">
        <v>0.0</v>
      </c>
      <c r="F7" s="5">
        <v>9.3</v>
      </c>
      <c r="G7" s="5">
        <v>28.0</v>
      </c>
      <c r="H7" s="6">
        <f t="shared" si="2"/>
        <v>70</v>
      </c>
      <c r="I7" s="5">
        <v>346.0</v>
      </c>
      <c r="J7" s="5">
        <v>20.93</v>
      </c>
      <c r="K7" s="5">
        <v>37.69</v>
      </c>
      <c r="L7" s="5">
        <v>152.0</v>
      </c>
      <c r="M7" s="5">
        <v>0.0</v>
      </c>
    </row>
    <row r="8">
      <c r="B8" s="5" t="s">
        <v>39</v>
      </c>
      <c r="C8" s="5">
        <v>0.0</v>
      </c>
      <c r="D8" s="6">
        <f t="shared" si="1"/>
        <v>-64.5</v>
      </c>
      <c r="E8" s="5">
        <v>0.0</v>
      </c>
      <c r="F8" s="5">
        <v>9.95</v>
      </c>
      <c r="G8" s="5">
        <v>43.0</v>
      </c>
      <c r="H8" s="6">
        <f t="shared" si="2"/>
        <v>107.5</v>
      </c>
      <c r="I8" s="5">
        <v>566.0</v>
      </c>
      <c r="J8" s="5">
        <v>29.27</v>
      </c>
      <c r="K8" s="5">
        <v>49.58</v>
      </c>
      <c r="L8" s="5">
        <v>1520.0</v>
      </c>
      <c r="M8" s="5">
        <v>0.0</v>
      </c>
    </row>
    <row r="10">
      <c r="B10" s="2" t="s">
        <v>34</v>
      </c>
      <c r="C10" s="3"/>
      <c r="D10" s="4"/>
      <c r="F10" s="2" t="s">
        <v>1</v>
      </c>
      <c r="G10" s="3"/>
      <c r="H10" s="3"/>
      <c r="I10" s="4"/>
    </row>
    <row r="11">
      <c r="B11" s="10" t="s">
        <v>2</v>
      </c>
      <c r="C11" s="10" t="s">
        <v>40</v>
      </c>
      <c r="D11" s="10" t="s">
        <v>42</v>
      </c>
      <c r="F11" s="5"/>
      <c r="G11" s="5" t="s">
        <v>47</v>
      </c>
      <c r="H11" s="5" t="s">
        <v>16</v>
      </c>
      <c r="I11" s="5" t="s">
        <v>17</v>
      </c>
    </row>
    <row r="12">
      <c r="B12" s="10" t="s">
        <v>44</v>
      </c>
      <c r="C12" s="12"/>
      <c r="D12" s="12"/>
      <c r="F12" s="5" t="s">
        <v>19</v>
      </c>
      <c r="G12" s="5">
        <f t="shared" ref="G12:I12" si="3">J5</f>
        <v>43.67</v>
      </c>
      <c r="H12" s="5">
        <f t="shared" si="3"/>
        <v>71</v>
      </c>
      <c r="I12" s="5">
        <f t="shared" si="3"/>
        <v>129</v>
      </c>
    </row>
    <row r="13">
      <c r="B13" s="10" t="s">
        <v>45</v>
      </c>
      <c r="C13" s="12"/>
      <c r="D13" s="12"/>
      <c r="F13" s="5" t="s">
        <v>27</v>
      </c>
      <c r="G13" s="5">
        <f t="shared" ref="G13:I13" si="4">J6</f>
        <v>20.1</v>
      </c>
      <c r="H13" s="5">
        <f t="shared" si="4"/>
        <v>28.49</v>
      </c>
      <c r="I13" s="5">
        <f t="shared" si="4"/>
        <v>199</v>
      </c>
    </row>
    <row r="14">
      <c r="B14" s="10" t="s">
        <v>46</v>
      </c>
      <c r="C14" s="12"/>
      <c r="D14" s="12"/>
      <c r="F14" s="5" t="s">
        <v>33</v>
      </c>
      <c r="G14" s="5">
        <f t="shared" ref="G14:I14" si="5">J7</f>
        <v>20.93</v>
      </c>
      <c r="H14" s="5">
        <f t="shared" si="5"/>
        <v>37.69</v>
      </c>
      <c r="I14" s="5">
        <f t="shared" si="5"/>
        <v>152</v>
      </c>
    </row>
    <row r="15">
      <c r="F15" s="5" t="s">
        <v>39</v>
      </c>
      <c r="G15" s="5">
        <f t="shared" ref="G15:I15" si="6">J8</f>
        <v>29.27</v>
      </c>
      <c r="H15" s="5">
        <f t="shared" si="6"/>
        <v>49.58</v>
      </c>
      <c r="I15" s="5">
        <f t="shared" si="6"/>
        <v>1520</v>
      </c>
    </row>
    <row r="17">
      <c r="B17" s="7" t="s">
        <v>23</v>
      </c>
      <c r="C17" s="3"/>
      <c r="D17" s="3"/>
      <c r="E17" s="3"/>
      <c r="F17" s="3"/>
      <c r="G17" s="4"/>
    </row>
    <row r="18">
      <c r="B18" s="8"/>
      <c r="C18" s="7" t="s">
        <v>24</v>
      </c>
      <c r="D18" s="3"/>
      <c r="E18" s="4"/>
      <c r="F18" s="7" t="s">
        <v>26</v>
      </c>
      <c r="G18" s="4"/>
    </row>
    <row r="19">
      <c r="B19" s="9"/>
      <c r="C19" s="5" t="s">
        <v>28</v>
      </c>
      <c r="D19" s="5" t="s">
        <v>29</v>
      </c>
      <c r="E19" s="5" t="s">
        <v>30</v>
      </c>
      <c r="F19" s="5" t="s">
        <v>31</v>
      </c>
      <c r="G19" s="5" t="s">
        <v>32</v>
      </c>
    </row>
    <row r="20">
      <c r="B20" s="5" t="s">
        <v>35</v>
      </c>
      <c r="C20" s="5">
        <v>3.0</v>
      </c>
      <c r="D20" s="5">
        <v>53291.0</v>
      </c>
      <c r="E20" s="5">
        <v>17764.0</v>
      </c>
      <c r="F20" s="5">
        <v>7.457</v>
      </c>
      <c r="G20" s="5" t="s">
        <v>48</v>
      </c>
    </row>
    <row r="21">
      <c r="B21" s="5" t="s">
        <v>38</v>
      </c>
      <c r="C21" s="5">
        <v>1996.0</v>
      </c>
      <c r="D21" s="5">
        <v>4754813.0</v>
      </c>
      <c r="E21" s="5">
        <v>2382.0</v>
      </c>
      <c r="F21" s="11"/>
      <c r="G21" s="4"/>
    </row>
    <row r="23">
      <c r="G23" s="2" t="s">
        <v>49</v>
      </c>
      <c r="H23" s="3"/>
      <c r="I23" s="4"/>
    </row>
    <row r="24">
      <c r="G24" s="5" t="s">
        <v>50</v>
      </c>
      <c r="H24" s="5" t="s">
        <v>16</v>
      </c>
      <c r="I24" s="5" t="s">
        <v>17</v>
      </c>
    </row>
    <row r="25">
      <c r="G25" s="6"/>
      <c r="H25" s="6"/>
      <c r="I25" s="6"/>
    </row>
  </sheetData>
  <mergeCells count="9">
    <mergeCell ref="F21:G21"/>
    <mergeCell ref="G23:I23"/>
    <mergeCell ref="B3:M3"/>
    <mergeCell ref="B10:D10"/>
    <mergeCell ref="F10:I10"/>
    <mergeCell ref="B17:G17"/>
    <mergeCell ref="B18:B19"/>
    <mergeCell ref="C18:E18"/>
    <mergeCell ref="F18:G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3" width="17.75"/>
  </cols>
  <sheetData>
    <row r="3">
      <c r="B3" s="1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>
      <c r="B5" s="5" t="s">
        <v>22</v>
      </c>
      <c r="C5" s="5">
        <v>1.66</v>
      </c>
      <c r="D5" s="6">
        <f t="shared" ref="D5:D7" si="1">E5-1.5*(G5-E5)</f>
        <v>-7.69</v>
      </c>
      <c r="E5" s="5">
        <v>14.42</v>
      </c>
      <c r="F5" s="5">
        <v>19.555</v>
      </c>
      <c r="G5" s="5">
        <v>29.16</v>
      </c>
      <c r="H5" s="6">
        <f t="shared" ref="H5:H7" si="2">G5+ 1.5*(G5-E5)</f>
        <v>51.27</v>
      </c>
      <c r="I5" s="5">
        <v>70.51</v>
      </c>
      <c r="J5" s="5">
        <v>22.755</v>
      </c>
      <c r="K5" s="5">
        <v>12.71157</v>
      </c>
      <c r="L5" s="5">
        <v>60.0</v>
      </c>
      <c r="M5" s="5">
        <v>0.0</v>
      </c>
    </row>
    <row r="6">
      <c r="B6" s="5" t="s">
        <v>36</v>
      </c>
      <c r="C6" s="5">
        <v>3.75</v>
      </c>
      <c r="D6" s="6">
        <f t="shared" si="1"/>
        <v>-3.025</v>
      </c>
      <c r="E6" s="5">
        <v>14.87</v>
      </c>
      <c r="F6" s="5">
        <v>18.83</v>
      </c>
      <c r="G6" s="5">
        <v>26.8</v>
      </c>
      <c r="H6" s="6">
        <f t="shared" si="2"/>
        <v>44.695</v>
      </c>
      <c r="I6" s="5">
        <v>59.33</v>
      </c>
      <c r="J6" s="5">
        <v>21.13646</v>
      </c>
      <c r="K6" s="5">
        <v>10.19348</v>
      </c>
      <c r="L6" s="5">
        <v>65.0</v>
      </c>
      <c r="M6" s="5">
        <v>0.0</v>
      </c>
    </row>
    <row r="7">
      <c r="B7" s="5" t="s">
        <v>41</v>
      </c>
      <c r="C7" s="5">
        <v>3.26</v>
      </c>
      <c r="D7" s="6">
        <f t="shared" si="1"/>
        <v>-3.705</v>
      </c>
      <c r="E7" s="5">
        <v>18.06</v>
      </c>
      <c r="F7" s="5">
        <v>23.19</v>
      </c>
      <c r="G7" s="5">
        <v>32.57</v>
      </c>
      <c r="H7" s="6">
        <f t="shared" si="2"/>
        <v>54.335</v>
      </c>
      <c r="I7" s="5">
        <v>57.3</v>
      </c>
      <c r="J7" s="5">
        <v>25.91531</v>
      </c>
      <c r="K7" s="5">
        <v>14.34961</v>
      </c>
      <c r="L7" s="5">
        <v>32.0</v>
      </c>
      <c r="M7" s="5">
        <v>0.0</v>
      </c>
    </row>
    <row r="8">
      <c r="B8" s="5"/>
      <c r="C8" s="5"/>
      <c r="D8" s="6"/>
      <c r="E8" s="5"/>
      <c r="F8" s="5"/>
      <c r="G8" s="5"/>
      <c r="H8" s="6"/>
      <c r="I8" s="5"/>
      <c r="J8" s="5"/>
      <c r="K8" s="5"/>
      <c r="L8" s="5"/>
      <c r="M8" s="5"/>
    </row>
    <row r="10">
      <c r="B10" s="2" t="s">
        <v>34</v>
      </c>
      <c r="C10" s="3"/>
      <c r="D10" s="4"/>
      <c r="F10" s="2" t="s">
        <v>1</v>
      </c>
      <c r="G10" s="3"/>
      <c r="H10" s="3"/>
      <c r="I10" s="4"/>
    </row>
    <row r="11">
      <c r="B11" s="10" t="s">
        <v>2</v>
      </c>
      <c r="C11" s="10" t="s">
        <v>40</v>
      </c>
      <c r="D11" s="10" t="s">
        <v>42</v>
      </c>
      <c r="F11" s="5"/>
      <c r="G11" s="5" t="s">
        <v>47</v>
      </c>
      <c r="H11" s="5" t="s">
        <v>16</v>
      </c>
      <c r="I11" s="5" t="s">
        <v>17</v>
      </c>
    </row>
    <row r="12">
      <c r="B12" s="10" t="s">
        <v>44</v>
      </c>
      <c r="C12" s="12"/>
      <c r="D12" s="12"/>
      <c r="F12" s="5" t="s">
        <v>22</v>
      </c>
      <c r="G12" s="5">
        <f t="shared" ref="G12:I12" si="3">J5</f>
        <v>22.755</v>
      </c>
      <c r="H12" s="5">
        <f t="shared" si="3"/>
        <v>12.71157</v>
      </c>
      <c r="I12" s="5">
        <f t="shared" si="3"/>
        <v>60</v>
      </c>
    </row>
    <row r="13">
      <c r="B13" s="10" t="s">
        <v>45</v>
      </c>
      <c r="C13" s="12"/>
      <c r="D13" s="12"/>
      <c r="F13" s="5" t="s">
        <v>36</v>
      </c>
      <c r="G13" s="5">
        <f t="shared" ref="G13:I13" si="4">J6</f>
        <v>21.13646</v>
      </c>
      <c r="H13" s="5">
        <f t="shared" si="4"/>
        <v>10.19348</v>
      </c>
      <c r="I13" s="5">
        <f t="shared" si="4"/>
        <v>65</v>
      </c>
    </row>
    <row r="14">
      <c r="B14" s="10" t="s">
        <v>46</v>
      </c>
      <c r="C14" s="12"/>
      <c r="D14" s="12"/>
      <c r="F14" s="5" t="s">
        <v>41</v>
      </c>
      <c r="G14" s="5">
        <f t="shared" ref="G14:I14" si="5">J7</f>
        <v>25.91531</v>
      </c>
      <c r="H14" s="5">
        <f t="shared" si="5"/>
        <v>14.34961</v>
      </c>
      <c r="I14" s="5">
        <f t="shared" si="5"/>
        <v>32</v>
      </c>
    </row>
    <row r="15">
      <c r="F15" s="5"/>
      <c r="G15" s="5"/>
      <c r="H15" s="5"/>
      <c r="I15" s="5"/>
    </row>
    <row r="17">
      <c r="B17" s="7" t="s">
        <v>23</v>
      </c>
      <c r="C17" s="3"/>
      <c r="D17" s="3"/>
      <c r="E17" s="3"/>
      <c r="F17" s="3"/>
      <c r="G17" s="4"/>
    </row>
    <row r="18">
      <c r="B18" s="8"/>
      <c r="C18" s="7" t="s">
        <v>24</v>
      </c>
      <c r="D18" s="3"/>
      <c r="E18" s="4"/>
      <c r="F18" s="7" t="s">
        <v>26</v>
      </c>
      <c r="G18" s="4"/>
    </row>
    <row r="19">
      <c r="B19" s="9"/>
      <c r="C19" s="5" t="s">
        <v>28</v>
      </c>
      <c r="D19" s="5" t="s">
        <v>29</v>
      </c>
      <c r="E19" s="5" t="s">
        <v>30</v>
      </c>
      <c r="F19" s="5" t="s">
        <v>31</v>
      </c>
      <c r="G19" s="5" t="s">
        <v>32</v>
      </c>
    </row>
    <row r="20">
      <c r="B20" s="5" t="s">
        <v>35</v>
      </c>
      <c r="C20" s="5">
        <v>2.0</v>
      </c>
      <c r="D20" s="5">
        <v>490.0</v>
      </c>
      <c r="E20" s="5">
        <v>244.9</v>
      </c>
      <c r="F20" s="5">
        <v>1.671</v>
      </c>
      <c r="G20" s="5">
        <v>0.191</v>
      </c>
    </row>
    <row r="21">
      <c r="B21" s="5" t="s">
        <v>38</v>
      </c>
      <c r="C21" s="5">
        <v>154.0</v>
      </c>
      <c r="D21" s="5">
        <v>22567.0</v>
      </c>
      <c r="E21" s="5">
        <v>146.5</v>
      </c>
      <c r="F21" s="11"/>
      <c r="G21" s="4"/>
    </row>
    <row r="23">
      <c r="G23" s="2" t="s">
        <v>49</v>
      </c>
      <c r="H23" s="3"/>
      <c r="I23" s="4"/>
    </row>
    <row r="24">
      <c r="G24" s="5" t="s">
        <v>50</v>
      </c>
      <c r="H24" s="5" t="s">
        <v>16</v>
      </c>
      <c r="I24" s="5" t="s">
        <v>17</v>
      </c>
    </row>
    <row r="25">
      <c r="G25" s="6"/>
      <c r="H25" s="6"/>
      <c r="I25" s="6"/>
    </row>
  </sheetData>
  <mergeCells count="9">
    <mergeCell ref="F21:G21"/>
    <mergeCell ref="G23:I23"/>
    <mergeCell ref="B3:M3"/>
    <mergeCell ref="B10:D10"/>
    <mergeCell ref="F10:I10"/>
    <mergeCell ref="B17:G17"/>
    <mergeCell ref="B18:B19"/>
    <mergeCell ref="C18:E18"/>
    <mergeCell ref="F18:G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/>
      <c r="C1" s="3"/>
      <c r="D1" s="4"/>
    </row>
    <row r="2">
      <c r="A2" s="5"/>
      <c r="B2" s="5" t="s">
        <v>15</v>
      </c>
      <c r="C2" s="5" t="s">
        <v>16</v>
      </c>
      <c r="D2" s="5" t="s">
        <v>17</v>
      </c>
    </row>
    <row r="3">
      <c r="A3" s="5" t="s">
        <v>18</v>
      </c>
      <c r="B3" s="5">
        <v>55.516</v>
      </c>
      <c r="C3" s="5">
        <v>10.881363</v>
      </c>
      <c r="D3" s="5">
        <v>10.0</v>
      </c>
    </row>
    <row r="4">
      <c r="A4" s="5" t="s">
        <v>20</v>
      </c>
      <c r="B4" s="5">
        <v>36.02837</v>
      </c>
      <c r="C4" s="5">
        <v>8.402627</v>
      </c>
      <c r="D4" s="5">
        <v>8.0</v>
      </c>
    </row>
    <row r="5">
      <c r="A5" s="5" t="s">
        <v>21</v>
      </c>
      <c r="B5" s="5">
        <v>76.57322</v>
      </c>
      <c r="C5" s="5">
        <v>9.646232</v>
      </c>
      <c r="D5" s="5">
        <v>9.0</v>
      </c>
    </row>
    <row r="9">
      <c r="A9" s="7" t="s">
        <v>23</v>
      </c>
      <c r="B9" s="3"/>
      <c r="C9" s="3"/>
      <c r="D9" s="3"/>
      <c r="E9" s="3"/>
      <c r="F9" s="4"/>
    </row>
    <row r="10">
      <c r="A10" s="8"/>
      <c r="B10" s="7" t="s">
        <v>24</v>
      </c>
      <c r="C10" s="3"/>
      <c r="D10" s="4"/>
      <c r="E10" s="7" t="s">
        <v>26</v>
      </c>
      <c r="F10" s="4"/>
    </row>
    <row r="11">
      <c r="A11" s="9"/>
      <c r="B11" s="5" t="s">
        <v>28</v>
      </c>
      <c r="C11" s="5" t="s">
        <v>29</v>
      </c>
      <c r="D11" s="5" t="s">
        <v>30</v>
      </c>
      <c r="E11" s="5" t="s">
        <v>31</v>
      </c>
      <c r="F11" s="5" t="s">
        <v>32</v>
      </c>
    </row>
    <row r="12">
      <c r="A12" s="5" t="s">
        <v>35</v>
      </c>
      <c r="B12" s="5">
        <v>2.0</v>
      </c>
      <c r="C12" s="5">
        <v>6987.0</v>
      </c>
      <c r="D12" s="5">
        <v>3493.0</v>
      </c>
      <c r="E12" s="5">
        <v>36.39</v>
      </c>
      <c r="F12" s="5" t="s">
        <v>37</v>
      </c>
    </row>
    <row r="13">
      <c r="A13" s="5" t="s">
        <v>38</v>
      </c>
      <c r="B13" s="5">
        <v>24.0</v>
      </c>
      <c r="C13" s="5">
        <v>2304.0</v>
      </c>
      <c r="D13" s="5">
        <v>96.0</v>
      </c>
      <c r="E13" s="11"/>
      <c r="F13" s="4"/>
    </row>
  </sheetData>
  <mergeCells count="6">
    <mergeCell ref="A1:D1"/>
    <mergeCell ref="A9:F9"/>
    <mergeCell ref="A10:A11"/>
    <mergeCell ref="B10:D10"/>
    <mergeCell ref="E10:F10"/>
    <mergeCell ref="E13:F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3" width="17.75"/>
  </cols>
  <sheetData>
    <row r="3">
      <c r="B3" s="1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>
      <c r="B5" s="5" t="s">
        <v>14</v>
      </c>
      <c r="C5" s="6"/>
      <c r="D5" s="6">
        <f t="shared" ref="D5:D6" si="1">E5-1.5*(G5-E5)</f>
        <v>0</v>
      </c>
      <c r="E5" s="6"/>
      <c r="F5" s="6"/>
      <c r="G5" s="6"/>
      <c r="H5" s="6">
        <f t="shared" ref="H5:H6" si="2">G5-1.5*(G5-E5)</f>
        <v>0</v>
      </c>
      <c r="I5" s="6"/>
      <c r="J5" s="6"/>
      <c r="K5" s="6"/>
      <c r="L5" s="6"/>
      <c r="M5" s="6"/>
    </row>
    <row r="6">
      <c r="B6" s="5" t="s">
        <v>25</v>
      </c>
      <c r="C6" s="6"/>
      <c r="D6" s="6">
        <f t="shared" si="1"/>
        <v>0</v>
      </c>
      <c r="E6" s="6"/>
      <c r="F6" s="6"/>
      <c r="G6" s="6"/>
      <c r="H6" s="6">
        <f t="shared" si="2"/>
        <v>0</v>
      </c>
      <c r="I6" s="6"/>
      <c r="J6" s="6"/>
      <c r="K6" s="6"/>
      <c r="L6" s="6"/>
      <c r="M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9">
      <c r="B9" s="2" t="s">
        <v>34</v>
      </c>
      <c r="C9" s="3"/>
      <c r="D9" s="4"/>
      <c r="F9" s="2" t="s">
        <v>52</v>
      </c>
      <c r="G9" s="3"/>
      <c r="H9" s="3"/>
      <c r="I9" s="3"/>
      <c r="J9" s="4"/>
    </row>
    <row r="10">
      <c r="B10" s="10" t="s">
        <v>2</v>
      </c>
      <c r="C10" s="10" t="s">
        <v>40</v>
      </c>
      <c r="D10" s="10" t="s">
        <v>42</v>
      </c>
      <c r="F10" s="5" t="s">
        <v>54</v>
      </c>
      <c r="G10" s="5" t="s">
        <v>55</v>
      </c>
      <c r="H10" s="5" t="s">
        <v>56</v>
      </c>
      <c r="I10" s="5" t="s">
        <v>57</v>
      </c>
      <c r="J10" s="5" t="s">
        <v>58</v>
      </c>
    </row>
    <row r="11">
      <c r="B11" s="10" t="s">
        <v>44</v>
      </c>
      <c r="C11" s="12"/>
      <c r="D11" s="12"/>
      <c r="F11" s="5">
        <v>0.818</v>
      </c>
      <c r="G11" s="5">
        <f>F11^2</f>
        <v>0.669124</v>
      </c>
      <c r="H11" s="5">
        <v>0.15</v>
      </c>
      <c r="I11" s="5">
        <v>-30.82</v>
      </c>
      <c r="J11" s="5" t="s">
        <v>59</v>
      </c>
    </row>
    <row r="12">
      <c r="B12" s="10" t="s">
        <v>45</v>
      </c>
      <c r="C12" s="12"/>
      <c r="D12" s="12"/>
    </row>
    <row r="13">
      <c r="B13" s="10" t="s">
        <v>46</v>
      </c>
      <c r="C13" s="12"/>
      <c r="D13" s="12"/>
    </row>
    <row r="15">
      <c r="B15" s="7" t="s">
        <v>61</v>
      </c>
      <c r="C15" s="3"/>
      <c r="D15" s="3"/>
      <c r="E15" s="3"/>
      <c r="F15" s="4"/>
      <c r="G15" s="15"/>
    </row>
    <row r="16">
      <c r="B16" s="8"/>
      <c r="C16" s="7" t="s">
        <v>65</v>
      </c>
      <c r="D16" s="4"/>
      <c r="E16" s="7" t="s">
        <v>26</v>
      </c>
      <c r="F16" s="4"/>
      <c r="G16" s="15"/>
    </row>
    <row r="17">
      <c r="B17" s="9"/>
      <c r="C17" s="5" t="s">
        <v>66</v>
      </c>
      <c r="D17" s="5" t="s">
        <v>67</v>
      </c>
      <c r="E17" s="5" t="s">
        <v>68</v>
      </c>
      <c r="F17" s="5" t="s">
        <v>32</v>
      </c>
      <c r="G17" s="5"/>
    </row>
    <row r="18">
      <c r="B18" s="5" t="s">
        <v>69</v>
      </c>
      <c r="C18" s="5">
        <v>-30.82</v>
      </c>
      <c r="D18" s="5">
        <v>14.99</v>
      </c>
      <c r="E18" s="5">
        <v>-2.06</v>
      </c>
      <c r="F18" s="5">
        <v>0.05</v>
      </c>
      <c r="G18" s="5"/>
    </row>
    <row r="19">
      <c r="B19" s="5" t="s">
        <v>70</v>
      </c>
      <c r="C19" s="5">
        <v>0.15</v>
      </c>
      <c r="D19" s="5">
        <v>0.02</v>
      </c>
      <c r="E19" s="16">
        <v>7.51</v>
      </c>
      <c r="F19" s="16">
        <v>0.0</v>
      </c>
      <c r="G19" s="5"/>
    </row>
  </sheetData>
  <mergeCells count="7">
    <mergeCell ref="B3:M3"/>
    <mergeCell ref="B9:D9"/>
    <mergeCell ref="F9:J9"/>
    <mergeCell ref="B15:F15"/>
    <mergeCell ref="B16:B17"/>
    <mergeCell ref="C16:D16"/>
    <mergeCell ref="E16:F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3" width="17.75"/>
  </cols>
  <sheetData>
    <row r="3">
      <c r="B3" s="1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>
      <c r="B5" s="5" t="s">
        <v>51</v>
      </c>
      <c r="C5" s="5">
        <v>100.08</v>
      </c>
      <c r="D5" s="6">
        <f t="shared" ref="D5:D6" si="1">E5-1.5*(G5-E5)</f>
        <v>88.245</v>
      </c>
      <c r="E5" s="5">
        <v>102.7875</v>
      </c>
      <c r="F5" s="5">
        <v>107.705</v>
      </c>
      <c r="G5" s="5">
        <v>112.4825</v>
      </c>
      <c r="H5" s="6">
        <f t="shared" ref="H5:H6" si="2">G5+1.5*(G5-E5)</f>
        <v>127.025</v>
      </c>
      <c r="I5" s="5">
        <v>123.33</v>
      </c>
      <c r="J5" s="5">
        <v>108.3423</v>
      </c>
      <c r="K5" s="5">
        <v>6.247</v>
      </c>
      <c r="L5" s="5">
        <v>26.0</v>
      </c>
      <c r="M5" s="5">
        <v>0.0</v>
      </c>
    </row>
    <row r="6">
      <c r="B6" s="5" t="s">
        <v>53</v>
      </c>
      <c r="C6" s="5">
        <v>97.67</v>
      </c>
      <c r="D6" s="6">
        <f t="shared" si="1"/>
        <v>94.81625</v>
      </c>
      <c r="E6" s="5">
        <v>104.675</v>
      </c>
      <c r="F6" s="5">
        <v>107.54</v>
      </c>
      <c r="G6" s="5">
        <v>111.2475</v>
      </c>
      <c r="H6" s="6">
        <f t="shared" si="2"/>
        <v>121.10625</v>
      </c>
      <c r="I6" s="5">
        <v>117.23</v>
      </c>
      <c r="J6" s="5">
        <v>107.7823</v>
      </c>
      <c r="K6" s="5">
        <v>4.859</v>
      </c>
      <c r="L6" s="5">
        <v>30.0</v>
      </c>
      <c r="M6" s="5">
        <v>0.0</v>
      </c>
    </row>
    <row r="7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9">
      <c r="B9" s="2" t="s">
        <v>34</v>
      </c>
      <c r="C9" s="3"/>
      <c r="D9" s="4"/>
      <c r="F9" s="2" t="s">
        <v>1</v>
      </c>
      <c r="G9" s="3"/>
      <c r="H9" s="4"/>
      <c r="I9" s="14"/>
    </row>
    <row r="10">
      <c r="B10" s="10" t="s">
        <v>2</v>
      </c>
      <c r="C10" s="10" t="s">
        <v>40</v>
      </c>
      <c r="D10" s="10" t="s">
        <v>42</v>
      </c>
      <c r="F10" s="5" t="s">
        <v>62</v>
      </c>
      <c r="G10" s="5" t="s">
        <v>63</v>
      </c>
      <c r="H10" s="5" t="s">
        <v>64</v>
      </c>
      <c r="I10" s="5" t="s">
        <v>17</v>
      </c>
    </row>
    <row r="11">
      <c r="B11" s="10" t="s">
        <v>44</v>
      </c>
      <c r="C11" s="12"/>
      <c r="D11" s="12"/>
      <c r="F11" s="5">
        <v>0.36556</v>
      </c>
      <c r="G11" s="5">
        <v>46.962</v>
      </c>
      <c r="H11" s="5">
        <v>0.7163</v>
      </c>
      <c r="I11" s="6"/>
    </row>
    <row r="12">
      <c r="B12" s="10" t="s">
        <v>45</v>
      </c>
      <c r="C12" s="12"/>
      <c r="D12" s="12"/>
    </row>
    <row r="13">
      <c r="B13" s="10" t="s">
        <v>46</v>
      </c>
      <c r="C13" s="12"/>
      <c r="D13" s="12"/>
      <c r="F13" s="2" t="s">
        <v>1</v>
      </c>
      <c r="G13" s="3"/>
      <c r="H13" s="3"/>
      <c r="I13" s="4"/>
    </row>
    <row r="14">
      <c r="F14" s="5"/>
      <c r="G14" s="5" t="s">
        <v>47</v>
      </c>
      <c r="H14" s="5" t="s">
        <v>16</v>
      </c>
      <c r="I14" s="5" t="s">
        <v>17</v>
      </c>
    </row>
    <row r="15">
      <c r="F15" s="5" t="s">
        <v>51</v>
      </c>
      <c r="G15" s="5">
        <f t="shared" ref="G15:I15" si="3">J5</f>
        <v>108.3423</v>
      </c>
      <c r="H15" s="5">
        <f t="shared" si="3"/>
        <v>6.247</v>
      </c>
      <c r="I15" s="5">
        <f t="shared" si="3"/>
        <v>26</v>
      </c>
    </row>
    <row r="16">
      <c r="F16" s="5" t="s">
        <v>71</v>
      </c>
      <c r="G16" s="5">
        <f t="shared" ref="G16:I16" si="4">J6</f>
        <v>107.7823</v>
      </c>
      <c r="H16" s="5">
        <f t="shared" si="4"/>
        <v>4.859</v>
      </c>
      <c r="I16" s="5">
        <f t="shared" si="4"/>
        <v>30</v>
      </c>
    </row>
  </sheetData>
  <mergeCells count="4">
    <mergeCell ref="B3:M3"/>
    <mergeCell ref="B9:D9"/>
    <mergeCell ref="F9:H9"/>
    <mergeCell ref="F13:I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3" width="17.75"/>
  </cols>
  <sheetData>
    <row r="1">
      <c r="A1" s="13" t="s">
        <v>60</v>
      </c>
    </row>
    <row r="3">
      <c r="B3" s="1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>
      <c r="B5" s="5" t="s">
        <v>14</v>
      </c>
      <c r="C5" s="6"/>
      <c r="D5" s="6">
        <f t="shared" ref="D5:D6" si="1">E5-1.5*(G5-E5)</f>
        <v>0</v>
      </c>
      <c r="E5" s="6"/>
      <c r="F5" s="6"/>
      <c r="G5" s="6"/>
      <c r="H5" s="6">
        <f t="shared" ref="H5:H6" si="2">G5-1.5*(G5-E5)</f>
        <v>0</v>
      </c>
      <c r="I5" s="6"/>
      <c r="J5" s="6"/>
      <c r="K5" s="6"/>
      <c r="L5" s="6"/>
      <c r="M5" s="6"/>
    </row>
    <row r="6">
      <c r="B6" s="5" t="s">
        <v>25</v>
      </c>
      <c r="C6" s="6"/>
      <c r="D6" s="6">
        <f t="shared" si="1"/>
        <v>0</v>
      </c>
      <c r="E6" s="6"/>
      <c r="F6" s="6"/>
      <c r="G6" s="6"/>
      <c r="H6" s="6">
        <f t="shared" si="2"/>
        <v>0</v>
      </c>
      <c r="I6" s="6"/>
      <c r="J6" s="6"/>
      <c r="K6" s="6"/>
      <c r="L6" s="6"/>
      <c r="M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9">
      <c r="B9" s="2" t="s">
        <v>34</v>
      </c>
      <c r="C9" s="3"/>
      <c r="D9" s="4"/>
      <c r="F9" s="2" t="s">
        <v>1</v>
      </c>
      <c r="G9" s="3"/>
      <c r="H9" s="4"/>
      <c r="I9" s="14"/>
    </row>
    <row r="10">
      <c r="B10" s="10" t="s">
        <v>72</v>
      </c>
      <c r="C10" s="10" t="s">
        <v>73</v>
      </c>
      <c r="D10" s="10" t="s">
        <v>74</v>
      </c>
      <c r="F10" s="5" t="s">
        <v>75</v>
      </c>
      <c r="G10" s="5" t="s">
        <v>63</v>
      </c>
      <c r="H10" s="5" t="s">
        <v>76</v>
      </c>
      <c r="I10" s="5"/>
    </row>
    <row r="11">
      <c r="B11" s="10" t="s">
        <v>77</v>
      </c>
      <c r="C11" s="10">
        <v>103.0</v>
      </c>
      <c r="D11" s="10">
        <v>74.0</v>
      </c>
      <c r="F11" s="5">
        <v>17.012</v>
      </c>
      <c r="G11" s="5">
        <v>2.0</v>
      </c>
      <c r="H11" s="5">
        <v>2.02E-4</v>
      </c>
      <c r="I11" s="6"/>
    </row>
    <row r="12">
      <c r="B12" s="10" t="s">
        <v>78</v>
      </c>
      <c r="C12" s="10">
        <v>59.0</v>
      </c>
      <c r="D12" s="10">
        <v>93.0</v>
      </c>
    </row>
    <row r="13">
      <c r="B13" s="10" t="s">
        <v>79</v>
      </c>
      <c r="C13" s="10">
        <v>47.0</v>
      </c>
      <c r="D13" s="10">
        <v>77.0</v>
      </c>
    </row>
  </sheetData>
  <mergeCells count="3">
    <mergeCell ref="B3:M3"/>
    <mergeCell ref="B9:D9"/>
    <mergeCell ref="F9:H9"/>
  </mergeCells>
  <drawing r:id="rId1"/>
</worksheet>
</file>